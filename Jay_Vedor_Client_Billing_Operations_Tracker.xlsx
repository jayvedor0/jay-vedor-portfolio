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lient Tracker" sheetId="2" state="visible" r:id="rId2"/>
    <sheet xmlns:r="http://schemas.openxmlformats.org/officeDocument/2006/relationships" name="Follow-Ups" sheetId="3" state="visible" r:id="rId3"/>
    <sheet xmlns:r="http://schemas.openxmlformats.org/officeDocument/2006/relationships" name="Lead Pipeline" sheetId="4" state="visible" r:id="rId4"/>
    <sheet xmlns:r="http://schemas.openxmlformats.org/officeDocument/2006/relationships" name="Read Me" sheetId="5" state="visible" r:id="rId5"/>
  </sheets>
  <definedNames>
    <definedName name="_xlnm._FilterDatabase" localSheetId="1" hidden="1">'Client Tracker'!$A$1:$O$21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"/>
  </numFmts>
  <fonts count="10">
    <font>
      <name val="Calibri"/>
      <family val="2"/>
      <color theme="1"/>
      <sz val="11"/>
      <scheme val="minor"/>
    </font>
    <font>
      <b val="1"/>
      <color rgb="00FFFFFF"/>
      <sz val="22"/>
    </font>
    <font>
      <i val="1"/>
      <color rgb="00667085"/>
      <sz val="10"/>
    </font>
    <font>
      <b val="1"/>
      <color rgb="00FFFFFF"/>
      <sz val="9"/>
    </font>
    <font>
      <b val="1"/>
      <color rgb="00FFFFFF"/>
      <sz val="20"/>
    </font>
    <font>
      <b val="1"/>
      <color rgb="00172033"/>
      <sz val="14"/>
    </font>
    <font>
      <b val="1"/>
      <color rgb="00FFFFFF"/>
    </font>
    <font>
      <color rgb="00172033"/>
      <sz val="11"/>
    </font>
    <font>
      <b val="1"/>
      <color rgb="00172B4D"/>
    </font>
    <font>
      <color rgb="00172033"/>
    </font>
  </fonts>
  <fills count="7">
    <fill>
      <patternFill/>
    </fill>
    <fill>
      <patternFill patternType="gray125"/>
    </fill>
    <fill>
      <patternFill patternType="solid">
        <fgColor rgb="00172B4D"/>
      </patternFill>
    </fill>
    <fill>
      <patternFill patternType="solid">
        <fgColor rgb="002F6BFF"/>
      </patternFill>
    </fill>
    <fill>
      <patternFill patternType="solid">
        <fgColor rgb="00C83C4B"/>
      </patternFill>
    </fill>
    <fill>
      <patternFill patternType="solid">
        <fgColor rgb="00B7791F"/>
      </patternFill>
    </fill>
    <fill>
      <patternFill patternType="solid">
        <fgColor rgb="007657D8"/>
      </patternFill>
    </fill>
  </fills>
  <borders count="2">
    <border>
      <left/>
      <right/>
      <top/>
      <bottom/>
      <diagonal/>
    </border>
    <border>
      <left style="thin">
        <color rgb="00D9E1EA"/>
      </left>
      <right style="thin">
        <color rgb="00D9E1EA"/>
      </right>
      <top style="thin">
        <color rgb="00D9E1EA"/>
      </top>
      <bottom style="thin">
        <color rgb="00D9E1EA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1" fontId="4" fillId="3" borderId="0" applyAlignment="1" pivotButton="0" quotePrefix="0" xfId="0">
      <alignment horizontal="center" vertical="center"/>
    </xf>
    <xf numFmtId="1" fontId="4" fillId="4" borderId="0" applyAlignment="1" pivotButton="0" quotePrefix="0" xfId="0">
      <alignment horizontal="center" vertical="center"/>
    </xf>
    <xf numFmtId="164" fontId="4" fillId="5" borderId="0" applyAlignment="1" pivotButton="0" quotePrefix="0" xfId="0">
      <alignment horizontal="center" vertical="center"/>
    </xf>
    <xf numFmtId="1" fontId="4" fillId="6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1" pivotButton="0" quotePrefix="0" xfId="0"/>
    <xf numFmtId="0" fontId="0" fillId="0" borderId="1" pivotButton="0" quotePrefix="0" xfId="0"/>
    <xf numFmtId="0" fontId="7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164" fontId="0" fillId="0" borderId="1" pivotButton="0" quotePrefix="0" xfId="0"/>
    <xf numFmtId="165" fontId="0" fillId="0" borderId="1" pivotButton="0" quotePrefix="0" xfId="0"/>
    <xf numFmtId="0" fontId="4" fillId="2" borderId="0" applyAlignment="1" pivotButton="0" quotePrefix="0" xfId="0">
      <alignment vertical="center"/>
    </xf>
    <xf numFmtId="0" fontId="8" fillId="0" borderId="1" pivotButton="0" quotePrefix="0" xfId="0"/>
    <xf numFmtId="0" fontId="9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b val="1"/>
        <color rgb="002E9B68"/>
      </font>
      <fill>
        <patternFill patternType="solid">
          <fgColor rgb="00EAF7F0"/>
        </patternFill>
      </fill>
    </dxf>
    <dxf>
      <font>
        <b val="1"/>
        <color rgb="00B7791F"/>
      </font>
      <fill>
        <patternFill patternType="solid">
          <fgColor rgb="00FFF6DE"/>
        </patternFill>
      </fill>
    </dxf>
    <dxf>
      <font>
        <b val="1"/>
        <color rgb="00C83C4B"/>
      </font>
      <fill>
        <patternFill patternType="solid">
          <fgColor rgb="00FDEC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Accounts by Health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'Dashboard'!$E$11:$E$14</f>
            </numRef>
          </cat>
          <val>
            <numRef>
              <f>'Dashboard'!$F$11:$F$14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Clients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360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lientTrackerTable" displayName="ClientTrackerTable" ref="A1:O21" headerRowCount="1">
  <autoFilter ref="A1:O21"/>
  <tableColumns count="15">
    <tableColumn id="1" name="Client"/>
    <tableColumn id="2" name="Matter"/>
    <tableColumn id="3" name="Retainer Fee"/>
    <tableColumn id="4" name="Trust Balance"/>
    <tableColumn id="5" name="Outstanding"/>
    <tableColumn id="6" name="WIP"/>
    <tableColumn id="7" name="Upcoming Event"/>
    <tableColumn id="8" name="Required Trust"/>
    <tableColumn id="9" name="Amount Needed"/>
    <tableColumn id="10" name="Status"/>
    <tableColumn id="11" name="Priority"/>
    <tableColumn id="12" name="Next Action"/>
    <tableColumn id="13" name="Last Contact"/>
    <tableColumn id="14" name="Next Follow-Up"/>
    <tableColumn id="15" name="Not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FollowUpsTable" displayName="FollowUpsTable" ref="A1:H21" headerRowCount="1">
  <autoFilter ref="A1:H21"/>
  <tableColumns count="8">
    <tableColumn id="1" name="Client"/>
    <tableColumn id="2" name="Channel"/>
    <tableColumn id="3" name="Topic"/>
    <tableColumn id="4" name="Last Contact"/>
    <tableColumn id="5" name="Next Follow-Up"/>
    <tableColumn id="6" name="Status"/>
    <tableColumn id="7" name="Priority"/>
    <tableColumn id="8" name="Owner Note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LeadPipelineTable" displayName="LeadPipelineTable" ref="A1:H21" headerRowCount="1">
  <autoFilter ref="A1:H21"/>
  <tableColumns count="8">
    <tableColumn id="1" name="Lead"/>
    <tableColumn id="2" name="Source"/>
    <tableColumn id="3" name="Contacted"/>
    <tableColumn id="4" name="Last Touch"/>
    <tableColumn id="5" name="Next Step"/>
    <tableColumn id="6" name="Pipeline Status"/>
    <tableColumn id="7" name="Outcome"/>
    <tableColumn id="8" name="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32" customWidth="1" min="3" max="3"/>
    <col width="12" customWidth="1" min="4" max="4"/>
    <col width="20" customWidth="1" min="5" max="5"/>
    <col width="12" customWidth="1" min="6" max="6"/>
    <col width="18" customWidth="1" min="7" max="7"/>
    <col width="18" customWidth="1" min="8" max="8"/>
  </cols>
  <sheetData>
    <row r="1">
      <c r="A1" s="1" t="inlineStr">
        <is>
          <t>CLIENT &amp; BILLING OPERATIONS</t>
        </is>
      </c>
    </row>
    <row r="2"/>
    <row r="3">
      <c r="A3" s="2" t="inlineStr">
        <is>
          <t>Fictional portfolio sample • client account monitoring, billing follow-up, trust replenishment, and action prioritization.</t>
        </is>
      </c>
    </row>
    <row r="5">
      <c r="A5" s="3" t="inlineStr">
        <is>
          <t>ACTIVE CLIENTS</t>
        </is>
      </c>
      <c r="C5" s="4" t="inlineStr">
        <is>
          <t>ACTION NEEDED</t>
        </is>
      </c>
      <c r="E5" s="5" t="inlineStr">
        <is>
          <t>TRUST TO REPLENISH</t>
        </is>
      </c>
      <c r="G5" s="6" t="inlineStr">
        <is>
          <t>OPEN FOLLOW-UPS</t>
        </is>
      </c>
    </row>
    <row r="6">
      <c r="A6" s="7">
        <f>COUNTA('Client Tracker'!A2:A21)</f>
        <v>20</v>
      </c>
      <c r="C6" s="8">
        <f>COUNTIF('Client Tracker'!J2:J21,"Action Needed")</f>
        <v>6</v>
      </c>
      <c r="E6" s="9">
        <f>SUM('Client Tracker'!I2:I21)</f>
        <v>43142</v>
      </c>
      <c r="G6" s="10">
        <f>COUNTIF('Follow-Ups'!F2:F21,"Open")</f>
        <v>10</v>
      </c>
    </row>
    <row r="7"/>
    <row r="9">
      <c r="A9" s="11" t="inlineStr">
        <is>
          <t>Priority Snapshot</t>
        </is>
      </c>
      <c r="E9" s="11" t="inlineStr">
        <is>
          <t>Account Health</t>
        </is>
      </c>
    </row>
    <row r="10">
      <c r="A10" s="12" t="inlineStr">
        <is>
          <t>Priority</t>
        </is>
      </c>
      <c r="B10" s="12" t="inlineStr">
        <is>
          <t>Count</t>
        </is>
      </c>
      <c r="C10" s="12" t="inlineStr">
        <is>
          <t>Typical action</t>
        </is>
      </c>
      <c r="E10" s="12" t="inlineStr">
        <is>
          <t>Status</t>
        </is>
      </c>
      <c r="F10" s="12" t="inlineStr">
        <is>
          <t>Count</t>
        </is>
      </c>
    </row>
    <row r="11">
      <c r="A11" s="13" t="inlineStr">
        <is>
          <t>High</t>
        </is>
      </c>
      <c r="B11" s="13">
        <f>COUNTIF('Client Tracker'!K2:K21,"High")</f>
        <v>6</v>
      </c>
      <c r="C11" s="13" t="inlineStr">
        <is>
          <t>Replenishment / urgent follow-up</t>
        </is>
      </c>
      <c r="E11" s="13" t="inlineStr">
        <is>
          <t>Good</t>
        </is>
      </c>
      <c r="F11" s="13">
        <f>COUNTIF('Client Tracker'!J2:J21,"Good")</f>
        <v>8</v>
      </c>
    </row>
    <row r="12">
      <c r="A12" s="13" t="inlineStr">
        <is>
          <t>Medium</t>
        </is>
      </c>
      <c r="B12" s="13">
        <f>COUNTIF('Client Tracker'!K2:K21,"Medium")</f>
        <v>6</v>
      </c>
      <c r="C12" s="13" t="inlineStr">
        <is>
          <t>Review / confirm</t>
        </is>
      </c>
      <c r="E12" s="13" t="inlineStr">
        <is>
          <t>Attention</t>
        </is>
      </c>
      <c r="F12" s="13">
        <f>COUNTIF('Client Tracker'!J2:J21,"Attention")</f>
        <v>6</v>
      </c>
    </row>
    <row r="13">
      <c r="A13" s="13" t="inlineStr">
        <is>
          <t>Low</t>
        </is>
      </c>
      <c r="B13" s="13">
        <f>COUNTIF('Client Tracker'!K2:K21,"Low")</f>
        <v>8</v>
      </c>
      <c r="C13" s="13" t="inlineStr">
        <is>
          <t>Monitor</t>
        </is>
      </c>
      <c r="E13" s="13" t="inlineStr">
        <is>
          <t>Action Needed</t>
        </is>
      </c>
      <c r="F13" s="13">
        <f>COUNTIF('Client Tracker'!J2:J21,"Action Needed")</f>
        <v>6</v>
      </c>
    </row>
    <row r="14">
      <c r="E14" s="13" t="inlineStr">
        <is>
          <t>On Hold</t>
        </is>
      </c>
      <c r="F14" s="13">
        <f>COUNTIF('Client Tracker'!J2:J21,"On Hold")</f>
        <v>0</v>
      </c>
    </row>
    <row r="16">
      <c r="F16" s="11" t="inlineStr">
        <is>
          <t>What this demonstrates</t>
        </is>
      </c>
    </row>
    <row r="17">
      <c r="F17" s="14" t="inlineStr">
        <is>
          <t>• Quick visibility into accounts that need action</t>
        </is>
      </c>
    </row>
    <row r="18">
      <c r="F18" s="14" t="inlineStr">
        <is>
          <t>• Formula-driven replenishment amount</t>
        </is>
      </c>
    </row>
    <row r="19">
      <c r="F19" s="14" t="inlineStr">
        <is>
          <t>• Priority and status conventions</t>
        </is>
      </c>
    </row>
    <row r="20">
      <c r="F20" s="14" t="inlineStr">
        <is>
          <t>• Next-action thinking rather than raw data storage</t>
        </is>
      </c>
    </row>
  </sheetData>
  <mergeCells count="14">
    <mergeCell ref="F20:H20"/>
    <mergeCell ref="A3:H3"/>
    <mergeCell ref="F19:H19"/>
    <mergeCell ref="E6:F7"/>
    <mergeCell ref="C6:D7"/>
    <mergeCell ref="F18:H18"/>
    <mergeCell ref="G6:H7"/>
    <mergeCell ref="C5:D5"/>
    <mergeCell ref="A5:B5"/>
    <mergeCell ref="A6:B7"/>
    <mergeCell ref="E5:F5"/>
    <mergeCell ref="G5:H5"/>
    <mergeCell ref="F17:H17"/>
    <mergeCell ref="A1:H2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2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4" customWidth="1" min="4" max="4"/>
    <col width="13" customWidth="1" min="5" max="5"/>
    <col width="10" customWidth="1" min="6" max="6"/>
    <col width="15" customWidth="1" min="7" max="7"/>
    <col width="14" customWidth="1" min="8" max="8"/>
    <col width="14" customWidth="1" min="9" max="9"/>
    <col width="16" customWidth="1" min="10" max="10"/>
    <col width="11" customWidth="1" min="11" max="11"/>
    <col width="30" customWidth="1" min="12" max="12"/>
    <col width="13" customWidth="1" min="13" max="13"/>
    <col width="15" customWidth="1" min="14" max="14"/>
    <col width="28" customWidth="1" min="15" max="15"/>
  </cols>
  <sheetData>
    <row r="1" ht="34" customHeight="1">
      <c r="A1" s="15" t="inlineStr">
        <is>
          <t>Client</t>
        </is>
      </c>
      <c r="B1" s="15" t="inlineStr">
        <is>
          <t>Matter</t>
        </is>
      </c>
      <c r="C1" s="15" t="inlineStr">
        <is>
          <t>Retainer Fee</t>
        </is>
      </c>
      <c r="D1" s="15" t="inlineStr">
        <is>
          <t>Trust Balance</t>
        </is>
      </c>
      <c r="E1" s="15" t="inlineStr">
        <is>
          <t>Outstanding</t>
        </is>
      </c>
      <c r="F1" s="15" t="inlineStr">
        <is>
          <t>WIP</t>
        </is>
      </c>
      <c r="G1" s="15" t="inlineStr">
        <is>
          <t>Upcoming Event</t>
        </is>
      </c>
      <c r="H1" s="15" t="inlineStr">
        <is>
          <t>Required Trust</t>
        </is>
      </c>
      <c r="I1" s="15" t="inlineStr">
        <is>
          <t>Amount Needed</t>
        </is>
      </c>
      <c r="J1" s="15" t="inlineStr">
        <is>
          <t>Status</t>
        </is>
      </c>
      <c r="K1" s="15" t="inlineStr">
        <is>
          <t>Priority</t>
        </is>
      </c>
      <c r="L1" s="15" t="inlineStr">
        <is>
          <t>Next Action</t>
        </is>
      </c>
      <c r="M1" s="15" t="inlineStr">
        <is>
          <t>Last Contact</t>
        </is>
      </c>
      <c r="N1" s="15" t="inlineStr">
        <is>
          <t>Next Follow-Up</t>
        </is>
      </c>
      <c r="O1" s="15" t="inlineStr">
        <is>
          <t>Notes</t>
        </is>
      </c>
    </row>
    <row r="2">
      <c r="A2" s="13" t="inlineStr">
        <is>
          <t>Client 001</t>
        </is>
      </c>
      <c r="B2" s="13" t="inlineStr">
        <is>
          <t>Family Matter A</t>
        </is>
      </c>
      <c r="C2" s="16" t="n">
        <v>4000</v>
      </c>
      <c r="D2" s="16" t="n">
        <v>3150</v>
      </c>
      <c r="E2" s="16" t="n">
        <v>0</v>
      </c>
      <c r="F2" s="16" t="n">
        <v>125</v>
      </c>
      <c r="G2" s="17" t="n">
        <v>46302</v>
      </c>
      <c r="H2" s="16" t="n">
        <v>4000</v>
      </c>
      <c r="I2" s="16">
        <f>MAX(H2-D2+E2+F2,0)</f>
        <v>975</v>
      </c>
      <c r="J2" s="13" t="inlineStr">
        <is>
          <t>Good</t>
        </is>
      </c>
      <c r="K2" s="13" t="inlineStr">
        <is>
          <t>Low</t>
        </is>
      </c>
      <c r="L2" s="13" t="inlineStr">
        <is>
          <t>Monitor trust balance</t>
        </is>
      </c>
      <c r="M2" s="17" t="n">
        <v>46301</v>
      </c>
      <c r="N2" s="17" t="n">
        <v>46303</v>
      </c>
      <c r="O2" s="13" t="inlineStr">
        <is>
          <t>Routine monitoring</t>
        </is>
      </c>
    </row>
    <row r="3">
      <c r="A3" s="13" t="inlineStr">
        <is>
          <t>Client 002</t>
        </is>
      </c>
      <c r="B3" s="13" t="inlineStr">
        <is>
          <t>Family Matter B</t>
        </is>
      </c>
      <c r="C3" s="16" t="n">
        <v>3000</v>
      </c>
      <c r="D3" s="16" t="n">
        <v>975</v>
      </c>
      <c r="E3" s="16" t="n">
        <v>0</v>
      </c>
      <c r="F3" s="16" t="n">
        <v>0</v>
      </c>
      <c r="G3" s="17" t="n">
        <v>46304</v>
      </c>
      <c r="H3" s="16" t="n">
        <v>3000</v>
      </c>
      <c r="I3" s="16">
        <f>MAX(H3-D3+E3+F3,0)</f>
        <v>2025</v>
      </c>
      <c r="J3" s="13" t="inlineStr">
        <is>
          <t>Action Needed</t>
        </is>
      </c>
      <c r="K3" s="13" t="inlineStr">
        <is>
          <t>High</t>
        </is>
      </c>
      <c r="L3" s="13" t="inlineStr">
        <is>
          <t>Send replenishment request</t>
        </is>
      </c>
      <c r="M3" s="17" t="n">
        <v>46301</v>
      </c>
      <c r="N3" s="17" t="n">
        <v>46302</v>
      </c>
      <c r="O3" s="13" t="inlineStr">
        <is>
          <t>Upcoming mediation</t>
        </is>
      </c>
    </row>
    <row r="4">
      <c r="A4" s="13" t="inlineStr">
        <is>
          <t>Client 003</t>
        </is>
      </c>
      <c r="B4" s="13" t="inlineStr">
        <is>
          <t>Family Matter C</t>
        </is>
      </c>
      <c r="C4" s="16" t="n">
        <v>4000</v>
      </c>
      <c r="D4" s="16" t="n">
        <v>1890</v>
      </c>
      <c r="E4" s="16" t="n">
        <v>72</v>
      </c>
      <c r="F4" s="16" t="n">
        <v>0</v>
      </c>
      <c r="G4" s="17" t="n">
        <v>46307</v>
      </c>
      <c r="H4" s="16" t="n">
        <v>4000</v>
      </c>
      <c r="I4" s="16">
        <f>MAX(H4-D4+E4+F4,0)</f>
        <v>2182</v>
      </c>
      <c r="J4" s="13" t="inlineStr">
        <is>
          <t>Attention</t>
        </is>
      </c>
      <c r="K4" s="13" t="inlineStr">
        <is>
          <t>Medium</t>
        </is>
      </c>
      <c r="L4" s="13" t="inlineStr">
        <is>
          <t>Review account before next event</t>
        </is>
      </c>
      <c r="M4" s="17" t="n">
        <v>46301</v>
      </c>
      <c r="N4" s="17" t="n">
        <v>46305</v>
      </c>
      <c r="O4" s="13" t="inlineStr">
        <is>
          <t>Billing question open</t>
        </is>
      </c>
    </row>
    <row r="5">
      <c r="A5" s="13" t="inlineStr">
        <is>
          <t>Client 004</t>
        </is>
      </c>
      <c r="B5" s="13" t="inlineStr">
        <is>
          <t>Family Matter D</t>
        </is>
      </c>
      <c r="C5" s="16" t="n">
        <v>3000</v>
      </c>
      <c r="D5" s="16" t="n">
        <v>2740</v>
      </c>
      <c r="E5" s="16" t="n">
        <v>0</v>
      </c>
      <c r="F5" s="16" t="n">
        <v>0</v>
      </c>
      <c r="G5" s="17" t="n">
        <v>46310</v>
      </c>
      <c r="H5" s="16" t="n">
        <v>3000</v>
      </c>
      <c r="I5" s="16">
        <f>MAX(H5-D5+E5+F5,0)</f>
        <v>260</v>
      </c>
      <c r="J5" s="13" t="inlineStr">
        <is>
          <t>Good</t>
        </is>
      </c>
      <c r="K5" s="13" t="inlineStr">
        <is>
          <t>Low</t>
        </is>
      </c>
      <c r="L5" s="13" t="inlineStr">
        <is>
          <t>Monitor trust balance</t>
        </is>
      </c>
      <c r="M5" s="17" t="n">
        <v>46301</v>
      </c>
      <c r="N5" s="17" t="n">
        <v>46308</v>
      </c>
      <c r="O5" s="13" t="inlineStr"/>
    </row>
    <row r="6">
      <c r="A6" s="13" t="inlineStr">
        <is>
          <t>Client 005</t>
        </is>
      </c>
      <c r="B6" s="13" t="inlineStr">
        <is>
          <t>Family Matter E</t>
        </is>
      </c>
      <c r="C6" s="16" t="n">
        <v>4000</v>
      </c>
      <c r="D6" s="16" t="n">
        <v>420</v>
      </c>
      <c r="E6" s="16" t="n">
        <v>0</v>
      </c>
      <c r="F6" s="16" t="n">
        <v>85</v>
      </c>
      <c r="G6" s="17" t="n">
        <v>46303</v>
      </c>
      <c r="H6" s="16" t="n">
        <v>4000</v>
      </c>
      <c r="I6" s="16">
        <f>MAX(H6-D6+E6+F6,0)</f>
        <v>3665</v>
      </c>
      <c r="J6" s="13" t="inlineStr">
        <is>
          <t>Action Needed</t>
        </is>
      </c>
      <c r="K6" s="13" t="inlineStr">
        <is>
          <t>High</t>
        </is>
      </c>
      <c r="L6" s="13" t="inlineStr">
        <is>
          <t>Request replenishment</t>
        </is>
      </c>
      <c r="M6" s="17" t="n">
        <v>46301</v>
      </c>
      <c r="N6" s="17" t="n">
        <v>46302</v>
      </c>
      <c r="O6" s="13" t="inlineStr">
        <is>
          <t>Low trust + WIP</t>
        </is>
      </c>
    </row>
    <row r="7">
      <c r="A7" s="13" t="inlineStr">
        <is>
          <t>Client 006</t>
        </is>
      </c>
      <c r="B7" s="13" t="inlineStr">
        <is>
          <t>Family Matter F</t>
        </is>
      </c>
      <c r="C7" s="16" t="n">
        <v>4000</v>
      </c>
      <c r="D7" s="16" t="n">
        <v>2150</v>
      </c>
      <c r="E7" s="16" t="n">
        <v>0</v>
      </c>
      <c r="F7" s="16" t="n">
        <v>0</v>
      </c>
      <c r="G7" s="17" t="n">
        <v>46315</v>
      </c>
      <c r="H7" s="16" t="n">
        <v>4000</v>
      </c>
      <c r="I7" s="16">
        <f>MAX(H7-D7+E7+F7,0)</f>
        <v>1850</v>
      </c>
      <c r="J7" s="13" t="inlineStr">
        <is>
          <t>Attention</t>
        </is>
      </c>
      <c r="K7" s="13" t="inlineStr">
        <is>
          <t>Medium</t>
        </is>
      </c>
      <c r="L7" s="13" t="inlineStr">
        <is>
          <t>Confirm next milestone</t>
        </is>
      </c>
      <c r="M7" s="17" t="n">
        <v>46301</v>
      </c>
      <c r="N7" s="17" t="n">
        <v>46311</v>
      </c>
      <c r="O7" s="13" t="inlineStr"/>
    </row>
    <row r="8">
      <c r="A8" s="13" t="inlineStr">
        <is>
          <t>Client 007</t>
        </is>
      </c>
      <c r="B8" s="13" t="inlineStr">
        <is>
          <t>Family Matter G</t>
        </is>
      </c>
      <c r="C8" s="16" t="n">
        <v>4000</v>
      </c>
      <c r="D8" s="16" t="n">
        <v>3985</v>
      </c>
      <c r="E8" s="16" t="n">
        <v>0</v>
      </c>
      <c r="F8" s="16" t="n">
        <v>0</v>
      </c>
      <c r="G8" s="17" t="n">
        <v>46317</v>
      </c>
      <c r="H8" s="16" t="n">
        <v>4000</v>
      </c>
      <c r="I8" s="16">
        <f>MAX(H8-D8+E8+F8,0)</f>
        <v>15</v>
      </c>
      <c r="J8" s="13" t="inlineStr">
        <is>
          <t>Good</t>
        </is>
      </c>
      <c r="K8" s="13" t="inlineStr">
        <is>
          <t>Low</t>
        </is>
      </c>
      <c r="L8" s="13" t="inlineStr">
        <is>
          <t>No action required</t>
        </is>
      </c>
      <c r="M8" s="17" t="n">
        <v>46301</v>
      </c>
      <c r="N8" s="17" t="n">
        <v>46313</v>
      </c>
      <c r="O8" s="13" t="inlineStr"/>
    </row>
    <row r="9">
      <c r="A9" s="13" t="inlineStr">
        <is>
          <t>Client 008</t>
        </is>
      </c>
      <c r="B9" s="13" t="inlineStr">
        <is>
          <t>Family Matter H</t>
        </is>
      </c>
      <c r="C9" s="16" t="n">
        <v>5000</v>
      </c>
      <c r="D9" s="16" t="n">
        <v>760</v>
      </c>
      <c r="E9" s="16" t="n">
        <v>150</v>
      </c>
      <c r="F9" s="16" t="n">
        <v>210</v>
      </c>
      <c r="G9" s="17" t="n">
        <v>46306</v>
      </c>
      <c r="H9" s="16" t="n">
        <v>5000</v>
      </c>
      <c r="I9" s="16">
        <f>MAX(H9-D9+E9+F9,0)</f>
        <v>4600</v>
      </c>
      <c r="J9" s="13" t="inlineStr">
        <is>
          <t>Action Needed</t>
        </is>
      </c>
      <c r="K9" s="13" t="inlineStr">
        <is>
          <t>High</t>
        </is>
      </c>
      <c r="L9" s="13" t="inlineStr">
        <is>
          <t>Prepare client billing follow-up</t>
        </is>
      </c>
      <c r="M9" s="17" t="n">
        <v>46301</v>
      </c>
      <c r="N9" s="17" t="n">
        <v>46302</v>
      </c>
      <c r="O9" s="13" t="inlineStr">
        <is>
          <t>Upcoming filing</t>
        </is>
      </c>
    </row>
    <row r="10">
      <c r="A10" s="13" t="inlineStr">
        <is>
          <t>Client 009</t>
        </is>
      </c>
      <c r="B10" s="13" t="inlineStr">
        <is>
          <t>Family Matter I</t>
        </is>
      </c>
      <c r="C10" s="16" t="n">
        <v>3000</v>
      </c>
      <c r="D10" s="16" t="n">
        <v>1425</v>
      </c>
      <c r="E10" s="16" t="n">
        <v>0</v>
      </c>
      <c r="F10" s="16" t="n">
        <v>0</v>
      </c>
      <c r="G10" s="17" t="n">
        <v>46313</v>
      </c>
      <c r="H10" s="16" t="n">
        <v>3000</v>
      </c>
      <c r="I10" s="16">
        <f>MAX(H10-D10+E10+F10,0)</f>
        <v>1575</v>
      </c>
      <c r="J10" s="13" t="inlineStr">
        <is>
          <t>Attention</t>
        </is>
      </c>
      <c r="K10" s="13" t="inlineStr">
        <is>
          <t>Medium</t>
        </is>
      </c>
      <c r="L10" s="13" t="inlineStr">
        <is>
          <t>Review trust target</t>
        </is>
      </c>
      <c r="M10" s="17" t="n">
        <v>46301</v>
      </c>
      <c r="N10" s="17" t="n">
        <v>46309</v>
      </c>
      <c r="O10" s="13" t="inlineStr"/>
    </row>
    <row r="11">
      <c r="A11" s="13" t="inlineStr">
        <is>
          <t>Client 010</t>
        </is>
      </c>
      <c r="B11" s="13" t="inlineStr">
        <is>
          <t>Family Matter J</t>
        </is>
      </c>
      <c r="C11" s="16" t="n">
        <v>4000</v>
      </c>
      <c r="D11" s="16" t="n">
        <v>2000</v>
      </c>
      <c r="E11" s="16" t="n">
        <v>0</v>
      </c>
      <c r="F11" s="16" t="n">
        <v>0</v>
      </c>
      <c r="G11" s="17" t="n">
        <v>46320</v>
      </c>
      <c r="H11" s="16" t="n">
        <v>4000</v>
      </c>
      <c r="I11" s="16">
        <f>MAX(H11-D11+E11+F11,0)</f>
        <v>2000</v>
      </c>
      <c r="J11" s="13" t="inlineStr">
        <is>
          <t>Good</t>
        </is>
      </c>
      <c r="K11" s="13" t="inlineStr">
        <is>
          <t>Low</t>
        </is>
      </c>
      <c r="L11" s="13" t="inlineStr">
        <is>
          <t>Monitor trust balance</t>
        </is>
      </c>
      <c r="M11" s="17" t="n">
        <v>46301</v>
      </c>
      <c r="N11" s="17" t="n">
        <v>46315</v>
      </c>
      <c r="O11" s="13" t="inlineStr"/>
    </row>
    <row r="12">
      <c r="A12" s="13" t="inlineStr">
        <is>
          <t>Client 011</t>
        </is>
      </c>
      <c r="B12" s="13" t="inlineStr">
        <is>
          <t>Family Matter K</t>
        </is>
      </c>
      <c r="C12" s="16" t="n">
        <v>6000</v>
      </c>
      <c r="D12" s="16" t="n">
        <v>850</v>
      </c>
      <c r="E12" s="16" t="n">
        <v>0</v>
      </c>
      <c r="F12" s="16" t="n">
        <v>340</v>
      </c>
      <c r="G12" s="17" t="n">
        <v>46305</v>
      </c>
      <c r="H12" s="16" t="n">
        <v>6000</v>
      </c>
      <c r="I12" s="16">
        <f>MAX(H12-D12+E12+F12,0)</f>
        <v>5490</v>
      </c>
      <c r="J12" s="13" t="inlineStr">
        <is>
          <t>Action Needed</t>
        </is>
      </c>
      <c r="K12" s="13" t="inlineStr">
        <is>
          <t>High</t>
        </is>
      </c>
      <c r="L12" s="13" t="inlineStr">
        <is>
          <t>Escalate replenishment</t>
        </is>
      </c>
      <c r="M12" s="17" t="n">
        <v>46301</v>
      </c>
      <c r="N12" s="17" t="n">
        <v>46302</v>
      </c>
      <c r="O12" s="13" t="inlineStr">
        <is>
          <t>Major event approaching</t>
        </is>
      </c>
    </row>
    <row r="13">
      <c r="A13" s="13" t="inlineStr">
        <is>
          <t>Client 012</t>
        </is>
      </c>
      <c r="B13" s="13" t="inlineStr">
        <is>
          <t>Family Matter L</t>
        </is>
      </c>
      <c r="C13" s="16" t="n">
        <v>4000</v>
      </c>
      <c r="D13" s="16" t="n">
        <v>3500</v>
      </c>
      <c r="E13" s="16" t="n">
        <v>0</v>
      </c>
      <c r="F13" s="16" t="n">
        <v>0</v>
      </c>
      <c r="G13" s="17" t="n">
        <v>46325</v>
      </c>
      <c r="H13" s="16" t="n">
        <v>4000</v>
      </c>
      <c r="I13" s="16">
        <f>MAX(H13-D13+E13+F13,0)</f>
        <v>500</v>
      </c>
      <c r="J13" s="13" t="inlineStr">
        <is>
          <t>Good</t>
        </is>
      </c>
      <c r="K13" s="13" t="inlineStr">
        <is>
          <t>Low</t>
        </is>
      </c>
      <c r="L13" s="13" t="inlineStr">
        <is>
          <t>Monitor trust balance</t>
        </is>
      </c>
      <c r="M13" s="17" t="n">
        <v>46301</v>
      </c>
      <c r="N13" s="17" t="n">
        <v>46317</v>
      </c>
      <c r="O13" s="13" t="inlineStr"/>
    </row>
    <row r="14">
      <c r="A14" s="13" t="inlineStr">
        <is>
          <t>Client 013</t>
        </is>
      </c>
      <c r="B14" s="13" t="inlineStr">
        <is>
          <t>Family Matter M</t>
        </is>
      </c>
      <c r="C14" s="16" t="n">
        <v>3000</v>
      </c>
      <c r="D14" s="16" t="n">
        <v>1180</v>
      </c>
      <c r="E14" s="16" t="n">
        <v>0</v>
      </c>
      <c r="F14" s="16" t="n">
        <v>0</v>
      </c>
      <c r="G14" s="17" t="n">
        <v>46311</v>
      </c>
      <c r="H14" s="16" t="n">
        <v>3000</v>
      </c>
      <c r="I14" s="16">
        <f>MAX(H14-D14+E14+F14,0)</f>
        <v>1820</v>
      </c>
      <c r="J14" s="13" t="inlineStr">
        <is>
          <t>Attention</t>
        </is>
      </c>
      <c r="K14" s="13" t="inlineStr">
        <is>
          <t>Medium</t>
        </is>
      </c>
      <c r="L14" s="13" t="inlineStr">
        <is>
          <t>Follow up after consultation</t>
        </is>
      </c>
      <c r="M14" s="17" t="n">
        <v>46301</v>
      </c>
      <c r="N14" s="17" t="n">
        <v>46304</v>
      </c>
      <c r="O14" s="13" t="inlineStr"/>
    </row>
    <row r="15">
      <c r="A15" s="13" t="inlineStr">
        <is>
          <t>Client 014</t>
        </is>
      </c>
      <c r="B15" s="13" t="inlineStr">
        <is>
          <t>Family Matter N</t>
        </is>
      </c>
      <c r="C15" s="16" t="n">
        <v>4000</v>
      </c>
      <c r="D15" s="16" t="n">
        <v>625</v>
      </c>
      <c r="E15" s="16" t="n">
        <v>0</v>
      </c>
      <c r="F15" s="16" t="n">
        <v>55</v>
      </c>
      <c r="G15" s="17" t="n">
        <v>46304</v>
      </c>
      <c r="H15" s="16" t="n">
        <v>4000</v>
      </c>
      <c r="I15" s="16">
        <f>MAX(H15-D15+E15+F15,0)</f>
        <v>3430</v>
      </c>
      <c r="J15" s="13" t="inlineStr">
        <is>
          <t>Action Needed</t>
        </is>
      </c>
      <c r="K15" s="13" t="inlineStr">
        <is>
          <t>High</t>
        </is>
      </c>
      <c r="L15" s="13" t="inlineStr">
        <is>
          <t>Send replenishment request</t>
        </is>
      </c>
      <c r="M15" s="17" t="n">
        <v>46301</v>
      </c>
      <c r="N15" s="17" t="n">
        <v>46302</v>
      </c>
      <c r="O15" s="13" t="inlineStr"/>
    </row>
    <row r="16">
      <c r="A16" s="13" t="inlineStr">
        <is>
          <t>Client 015</t>
        </is>
      </c>
      <c r="B16" s="13" t="inlineStr">
        <is>
          <t>Family Matter O</t>
        </is>
      </c>
      <c r="C16" s="16" t="n">
        <v>5000</v>
      </c>
      <c r="D16" s="16" t="n">
        <v>2750</v>
      </c>
      <c r="E16" s="16" t="n">
        <v>0</v>
      </c>
      <c r="F16" s="16" t="n">
        <v>0</v>
      </c>
      <c r="G16" s="17" t="n">
        <v>46328</v>
      </c>
      <c r="H16" s="16" t="n">
        <v>5000</v>
      </c>
      <c r="I16" s="16">
        <f>MAX(H16-D16+E16+F16,0)</f>
        <v>2250</v>
      </c>
      <c r="J16" s="13" t="inlineStr">
        <is>
          <t>Good</t>
        </is>
      </c>
      <c r="K16" s="13" t="inlineStr">
        <is>
          <t>Low</t>
        </is>
      </c>
      <c r="L16" s="13" t="inlineStr">
        <is>
          <t>Monitor trust balance</t>
        </is>
      </c>
      <c r="M16" s="17" t="n">
        <v>46301</v>
      </c>
      <c r="N16" s="17" t="n">
        <v>46320</v>
      </c>
      <c r="O16" s="13" t="inlineStr"/>
    </row>
    <row r="17">
      <c r="A17" s="13" t="inlineStr">
        <is>
          <t>Client 016</t>
        </is>
      </c>
      <c r="B17" s="13" t="inlineStr">
        <is>
          <t>Family Matter P</t>
        </is>
      </c>
      <c r="C17" s="16" t="n">
        <v>4000</v>
      </c>
      <c r="D17" s="16" t="n">
        <v>1650</v>
      </c>
      <c r="E17" s="16" t="n">
        <v>0</v>
      </c>
      <c r="F17" s="16" t="n">
        <v>0</v>
      </c>
      <c r="G17" s="17" t="n">
        <v>46309</v>
      </c>
      <c r="H17" s="16" t="n">
        <v>4000</v>
      </c>
      <c r="I17" s="16">
        <f>MAX(H17-D17+E17+F17,0)</f>
        <v>2350</v>
      </c>
      <c r="J17" s="13" t="inlineStr">
        <is>
          <t>Attention</t>
        </is>
      </c>
      <c r="K17" s="13" t="inlineStr">
        <is>
          <t>Medium</t>
        </is>
      </c>
      <c r="L17" s="13" t="inlineStr">
        <is>
          <t>Confirm required trust amount</t>
        </is>
      </c>
      <c r="M17" s="17" t="n">
        <v>46301</v>
      </c>
      <c r="N17" s="17" t="n">
        <v>46304</v>
      </c>
      <c r="O17" s="13" t="inlineStr"/>
    </row>
    <row r="18">
      <c r="A18" s="13" t="inlineStr">
        <is>
          <t>Client 017</t>
        </is>
      </c>
      <c r="B18" s="13" t="inlineStr">
        <is>
          <t>Family Matter Q</t>
        </is>
      </c>
      <c r="C18" s="16" t="n">
        <v>4000</v>
      </c>
      <c r="D18" s="16" t="n">
        <v>3990</v>
      </c>
      <c r="E18" s="16" t="n">
        <v>0</v>
      </c>
      <c r="F18" s="16" t="n">
        <v>0</v>
      </c>
      <c r="G18" s="17" t="n">
        <v>46323</v>
      </c>
      <c r="H18" s="16" t="n">
        <v>4000</v>
      </c>
      <c r="I18" s="16">
        <f>MAX(H18-D18+E18+F18,0)</f>
        <v>10</v>
      </c>
      <c r="J18" s="13" t="inlineStr">
        <is>
          <t>Good</t>
        </is>
      </c>
      <c r="K18" s="13" t="inlineStr">
        <is>
          <t>Low</t>
        </is>
      </c>
      <c r="L18" s="13" t="inlineStr">
        <is>
          <t>No action required</t>
        </is>
      </c>
      <c r="M18" s="17" t="n">
        <v>46301</v>
      </c>
      <c r="N18" s="17" t="n">
        <v>46316</v>
      </c>
      <c r="O18" s="13" t="inlineStr"/>
    </row>
    <row r="19">
      <c r="A19" s="13" t="inlineStr">
        <is>
          <t>Client 018</t>
        </is>
      </c>
      <c r="B19" s="13" t="inlineStr">
        <is>
          <t>Family Matter R</t>
        </is>
      </c>
      <c r="C19" s="16" t="n">
        <v>3000</v>
      </c>
      <c r="D19" s="16" t="n">
        <v>250</v>
      </c>
      <c r="E19" s="16" t="n">
        <v>0</v>
      </c>
      <c r="F19" s="16" t="n">
        <v>120</v>
      </c>
      <c r="G19" s="17" t="n">
        <v>46303</v>
      </c>
      <c r="H19" s="16" t="n">
        <v>3000</v>
      </c>
      <c r="I19" s="16">
        <f>MAX(H19-D19+E19+F19,0)</f>
        <v>2870</v>
      </c>
      <c r="J19" s="13" t="inlineStr">
        <is>
          <t>Action Needed</t>
        </is>
      </c>
      <c r="K19" s="13" t="inlineStr">
        <is>
          <t>High</t>
        </is>
      </c>
      <c r="L19" s="13" t="inlineStr">
        <is>
          <t>Request immediate replenishment</t>
        </is>
      </c>
      <c r="M19" s="17" t="n">
        <v>46301</v>
      </c>
      <c r="N19" s="17" t="n">
        <v>46302</v>
      </c>
      <c r="O19" s="13" t="inlineStr"/>
    </row>
    <row r="20">
      <c r="A20" s="13" t="inlineStr">
        <is>
          <t>Client 019</t>
        </is>
      </c>
      <c r="B20" s="13" t="inlineStr">
        <is>
          <t>Family Matter S</t>
        </is>
      </c>
      <c r="C20" s="16" t="n">
        <v>4000</v>
      </c>
      <c r="D20" s="16" t="n">
        <v>2400</v>
      </c>
      <c r="E20" s="16" t="n">
        <v>0</v>
      </c>
      <c r="F20" s="16" t="n">
        <v>0</v>
      </c>
      <c r="G20" s="17" t="n">
        <v>46316</v>
      </c>
      <c r="H20" s="16" t="n">
        <v>4000</v>
      </c>
      <c r="I20" s="16">
        <f>MAX(H20-D20+E20+F20,0)</f>
        <v>1600</v>
      </c>
      <c r="J20" s="13" t="inlineStr">
        <is>
          <t>Good</t>
        </is>
      </c>
      <c r="K20" s="13" t="inlineStr">
        <is>
          <t>Low</t>
        </is>
      </c>
      <c r="L20" s="13" t="inlineStr">
        <is>
          <t>Monitor trust balance</t>
        </is>
      </c>
      <c r="M20" s="17" t="n">
        <v>46301</v>
      </c>
      <c r="N20" s="17" t="n">
        <v>46311</v>
      </c>
      <c r="O20" s="13" t="inlineStr"/>
    </row>
    <row r="21">
      <c r="A21" s="13" t="inlineStr">
        <is>
          <t>Client 020</t>
        </is>
      </c>
      <c r="B21" s="13" t="inlineStr">
        <is>
          <t>Family Matter T</t>
        </is>
      </c>
      <c r="C21" s="16" t="n">
        <v>5000</v>
      </c>
      <c r="D21" s="16" t="n">
        <v>1325</v>
      </c>
      <c r="E21" s="16" t="n">
        <v>0</v>
      </c>
      <c r="F21" s="16" t="n">
        <v>0</v>
      </c>
      <c r="G21" s="17" t="n">
        <v>46308</v>
      </c>
      <c r="H21" s="16" t="n">
        <v>5000</v>
      </c>
      <c r="I21" s="16">
        <f>MAX(H21-D21+E21+F21,0)</f>
        <v>3675</v>
      </c>
      <c r="J21" s="13" t="inlineStr">
        <is>
          <t>Attention</t>
        </is>
      </c>
      <c r="K21" s="13" t="inlineStr">
        <is>
          <t>Medium</t>
        </is>
      </c>
      <c r="L21" s="13" t="inlineStr">
        <is>
          <t>Review before upcoming hearing</t>
        </is>
      </c>
      <c r="M21" s="17" t="n">
        <v>46301</v>
      </c>
      <c r="N21" s="17" t="n">
        <v>46303</v>
      </c>
      <c r="O21" s="13" t="inlineStr"/>
    </row>
  </sheetData>
  <autoFilter ref="A1:O21"/>
  <conditionalFormatting sqref="J2:J500">
    <cfRule type="expression" priority="1" dxfId="0">
      <formula>J2="Good"</formula>
    </cfRule>
    <cfRule type="expression" priority="2" dxfId="1">
      <formula>J2="Attention"</formula>
    </cfRule>
    <cfRule type="expression" priority="3" dxfId="2">
      <formula>J2="Action Needed"</formula>
    </cfRule>
  </conditionalFormatting>
  <conditionalFormatting sqref="I2:I500">
    <cfRule type="expression" priority="4" dxfId="2">
      <formula>I2&gt;0</formula>
    </cfRule>
  </conditionalFormatting>
  <dataValidations count="2">
    <dataValidation sqref="J2:J500" showDropDown="0" showInputMessage="0" showErrorMessage="0" allowBlank="0" type="list">
      <formula1>"Good,Attention,Action Needed,On Hold"</formula1>
    </dataValidation>
    <dataValidation sqref="K2:K500" showDropDown="0" showInputMessage="0" showErrorMessage="0" allowBlank="0" type="list">
      <formula1>"High,Medium,Low"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14" customWidth="1" min="4" max="4"/>
    <col width="15" customWidth="1" min="5" max="5"/>
    <col width="12" customWidth="1" min="6" max="6"/>
    <col width="11" customWidth="1" min="7" max="7"/>
    <col width="34" customWidth="1" min="8" max="8"/>
  </cols>
  <sheetData>
    <row r="1">
      <c r="A1" s="12" t="inlineStr">
        <is>
          <t>Client</t>
        </is>
      </c>
      <c r="B1" s="12" t="inlineStr">
        <is>
          <t>Channel</t>
        </is>
      </c>
      <c r="C1" s="12" t="inlineStr">
        <is>
          <t>Topic</t>
        </is>
      </c>
      <c r="D1" s="12" t="inlineStr">
        <is>
          <t>Last Contact</t>
        </is>
      </c>
      <c r="E1" s="12" t="inlineStr">
        <is>
          <t>Next Follow-Up</t>
        </is>
      </c>
      <c r="F1" s="12" t="inlineStr">
        <is>
          <t>Status</t>
        </is>
      </c>
      <c r="G1" s="12" t="inlineStr">
        <is>
          <t>Priority</t>
        </is>
      </c>
      <c r="H1" s="12" t="inlineStr">
        <is>
          <t>Owner Notes</t>
        </is>
      </c>
    </row>
    <row r="2">
      <c r="A2" s="13" t="inlineStr">
        <is>
          <t>Client 001</t>
        </is>
      </c>
      <c r="B2" s="13" t="inlineStr">
        <is>
          <t>Email</t>
        </is>
      </c>
      <c r="C2" s="13" t="inlineStr">
        <is>
          <t>Replenishment</t>
        </is>
      </c>
      <c r="D2" s="17" t="n">
        <v>46296</v>
      </c>
      <c r="E2" s="17" t="n">
        <v>46302</v>
      </c>
      <c r="F2" s="13" t="inlineStr">
        <is>
          <t>Open</t>
        </is>
      </c>
      <c r="G2" s="13" t="inlineStr">
        <is>
          <t>High</t>
        </is>
      </c>
      <c r="H2" s="13" t="inlineStr">
        <is>
          <t>Send payment link</t>
        </is>
      </c>
    </row>
    <row r="3">
      <c r="A3" s="13" t="inlineStr">
        <is>
          <t>Client 002</t>
        </is>
      </c>
      <c r="B3" s="13" t="inlineStr">
        <is>
          <t>Phone</t>
        </is>
      </c>
      <c r="C3" s="13" t="inlineStr">
        <is>
          <t>Billing question</t>
        </is>
      </c>
      <c r="D3" s="17" t="n">
        <v>46297</v>
      </c>
      <c r="E3" s="17" t="n">
        <v>46303</v>
      </c>
      <c r="F3" s="13" t="inlineStr">
        <is>
          <t>Open</t>
        </is>
      </c>
      <c r="G3" s="13" t="inlineStr">
        <is>
          <t>Medium</t>
        </is>
      </c>
      <c r="H3" s="13" t="inlineStr">
        <is>
          <t>Confirm balance</t>
        </is>
      </c>
    </row>
    <row r="4">
      <c r="A4" s="13" t="inlineStr">
        <is>
          <t>Client 003</t>
        </is>
      </c>
      <c r="B4" s="13" t="inlineStr">
        <is>
          <t>SMS</t>
        </is>
      </c>
      <c r="C4" s="13" t="inlineStr">
        <is>
          <t>Upcoming event</t>
        </is>
      </c>
      <c r="D4" s="17" t="n">
        <v>46298</v>
      </c>
      <c r="E4" s="17" t="n">
        <v>46304</v>
      </c>
      <c r="F4" s="13" t="inlineStr">
        <is>
          <t>Waiting</t>
        </is>
      </c>
      <c r="G4" s="13" t="inlineStr">
        <is>
          <t>Low</t>
        </is>
      </c>
      <c r="H4" s="13" t="inlineStr">
        <is>
          <t>Awaiting client response</t>
        </is>
      </c>
    </row>
    <row r="5">
      <c r="A5" s="13" t="inlineStr">
        <is>
          <t>Client 004</t>
        </is>
      </c>
      <c r="B5" s="13" t="inlineStr">
        <is>
          <t>Internal</t>
        </is>
      </c>
      <c r="C5" s="13" t="inlineStr">
        <is>
          <t>Document follow-up</t>
        </is>
      </c>
      <c r="D5" s="17" t="n">
        <v>46299</v>
      </c>
      <c r="E5" s="17" t="n">
        <v>46305</v>
      </c>
      <c r="F5" s="13" t="inlineStr">
        <is>
          <t>Closed</t>
        </is>
      </c>
      <c r="G5" s="13" t="inlineStr">
        <is>
          <t>High</t>
        </is>
      </c>
      <c r="H5" s="13" t="inlineStr">
        <is>
          <t>No action</t>
        </is>
      </c>
    </row>
    <row r="6">
      <c r="A6" s="13" t="inlineStr">
        <is>
          <t>Client 005</t>
        </is>
      </c>
      <c r="B6" s="13" t="inlineStr">
        <is>
          <t>Email</t>
        </is>
      </c>
      <c r="C6" s="13" t="inlineStr">
        <is>
          <t>Replenishment</t>
        </is>
      </c>
      <c r="D6" s="17" t="n">
        <v>46300</v>
      </c>
      <c r="E6" s="17" t="n">
        <v>46306</v>
      </c>
      <c r="F6" s="13" t="inlineStr">
        <is>
          <t>Open</t>
        </is>
      </c>
      <c r="G6" s="13" t="inlineStr">
        <is>
          <t>Medium</t>
        </is>
      </c>
      <c r="H6" s="13" t="inlineStr">
        <is>
          <t>Send payment link</t>
        </is>
      </c>
    </row>
    <row r="7">
      <c r="A7" s="13" t="inlineStr">
        <is>
          <t>Client 006</t>
        </is>
      </c>
      <c r="B7" s="13" t="inlineStr">
        <is>
          <t>Phone</t>
        </is>
      </c>
      <c r="C7" s="13" t="inlineStr">
        <is>
          <t>Billing question</t>
        </is>
      </c>
      <c r="D7" s="17" t="n">
        <v>46301</v>
      </c>
      <c r="E7" s="17" t="n">
        <v>46307</v>
      </c>
      <c r="F7" s="13" t="inlineStr">
        <is>
          <t>Open</t>
        </is>
      </c>
      <c r="G7" s="13" t="inlineStr">
        <is>
          <t>Low</t>
        </is>
      </c>
      <c r="H7" s="13" t="inlineStr">
        <is>
          <t>Confirm balance</t>
        </is>
      </c>
    </row>
    <row r="8">
      <c r="A8" s="13" t="inlineStr">
        <is>
          <t>Client 007</t>
        </is>
      </c>
      <c r="B8" s="13" t="inlineStr">
        <is>
          <t>SMS</t>
        </is>
      </c>
      <c r="C8" s="13" t="inlineStr">
        <is>
          <t>Upcoming event</t>
        </is>
      </c>
      <c r="D8" s="17" t="n">
        <v>46296</v>
      </c>
      <c r="E8" s="17" t="n">
        <v>46308</v>
      </c>
      <c r="F8" s="13" t="inlineStr">
        <is>
          <t>Waiting</t>
        </is>
      </c>
      <c r="G8" s="13" t="inlineStr">
        <is>
          <t>High</t>
        </is>
      </c>
      <c r="H8" s="13" t="inlineStr">
        <is>
          <t>Awaiting client response</t>
        </is>
      </c>
    </row>
    <row r="9">
      <c r="A9" s="13" t="inlineStr">
        <is>
          <t>Client 008</t>
        </is>
      </c>
      <c r="B9" s="13" t="inlineStr">
        <is>
          <t>Internal</t>
        </is>
      </c>
      <c r="C9" s="13" t="inlineStr">
        <is>
          <t>Document follow-up</t>
        </is>
      </c>
      <c r="D9" s="17" t="n">
        <v>46297</v>
      </c>
      <c r="E9" s="17" t="n">
        <v>46309</v>
      </c>
      <c r="F9" s="13" t="inlineStr">
        <is>
          <t>Closed</t>
        </is>
      </c>
      <c r="G9" s="13" t="inlineStr">
        <is>
          <t>Medium</t>
        </is>
      </c>
      <c r="H9" s="13" t="inlineStr">
        <is>
          <t>No action</t>
        </is>
      </c>
    </row>
    <row r="10">
      <c r="A10" s="13" t="inlineStr">
        <is>
          <t>Client 009</t>
        </is>
      </c>
      <c r="B10" s="13" t="inlineStr">
        <is>
          <t>Email</t>
        </is>
      </c>
      <c r="C10" s="13" t="inlineStr">
        <is>
          <t>Replenishment</t>
        </is>
      </c>
      <c r="D10" s="17" t="n">
        <v>46298</v>
      </c>
      <c r="E10" s="17" t="n">
        <v>46310</v>
      </c>
      <c r="F10" s="13" t="inlineStr">
        <is>
          <t>Open</t>
        </is>
      </c>
      <c r="G10" s="13" t="inlineStr">
        <is>
          <t>Low</t>
        </is>
      </c>
      <c r="H10" s="13" t="inlineStr">
        <is>
          <t>Send payment link</t>
        </is>
      </c>
    </row>
    <row r="11">
      <c r="A11" s="13" t="inlineStr">
        <is>
          <t>Client 010</t>
        </is>
      </c>
      <c r="B11" s="13" t="inlineStr">
        <is>
          <t>Phone</t>
        </is>
      </c>
      <c r="C11" s="13" t="inlineStr">
        <is>
          <t>Billing question</t>
        </is>
      </c>
      <c r="D11" s="17" t="n">
        <v>46299</v>
      </c>
      <c r="E11" s="17" t="n">
        <v>46311</v>
      </c>
      <c r="F11" s="13" t="inlineStr">
        <is>
          <t>Open</t>
        </is>
      </c>
      <c r="G11" s="13" t="inlineStr">
        <is>
          <t>High</t>
        </is>
      </c>
      <c r="H11" s="13" t="inlineStr">
        <is>
          <t>Confirm balance</t>
        </is>
      </c>
    </row>
    <row r="12">
      <c r="A12" s="13" t="inlineStr">
        <is>
          <t>Client 011</t>
        </is>
      </c>
      <c r="B12" s="13" t="inlineStr">
        <is>
          <t>SMS</t>
        </is>
      </c>
      <c r="C12" s="13" t="inlineStr">
        <is>
          <t>Upcoming event</t>
        </is>
      </c>
      <c r="D12" s="17" t="n">
        <v>46300</v>
      </c>
      <c r="E12" s="17" t="n">
        <v>46312</v>
      </c>
      <c r="F12" s="13" t="inlineStr">
        <is>
          <t>Waiting</t>
        </is>
      </c>
      <c r="G12" s="13" t="inlineStr">
        <is>
          <t>Medium</t>
        </is>
      </c>
      <c r="H12" s="13" t="inlineStr">
        <is>
          <t>Awaiting client response</t>
        </is>
      </c>
    </row>
    <row r="13">
      <c r="A13" s="13" t="inlineStr">
        <is>
          <t>Client 012</t>
        </is>
      </c>
      <c r="B13" s="13" t="inlineStr">
        <is>
          <t>Internal</t>
        </is>
      </c>
      <c r="C13" s="13" t="inlineStr">
        <is>
          <t>Document follow-up</t>
        </is>
      </c>
      <c r="D13" s="17" t="n">
        <v>46301</v>
      </c>
      <c r="E13" s="17" t="n">
        <v>46313</v>
      </c>
      <c r="F13" s="13" t="inlineStr">
        <is>
          <t>Closed</t>
        </is>
      </c>
      <c r="G13" s="13" t="inlineStr">
        <is>
          <t>Low</t>
        </is>
      </c>
      <c r="H13" s="13" t="inlineStr">
        <is>
          <t>No action</t>
        </is>
      </c>
    </row>
    <row r="14">
      <c r="A14" s="13" t="inlineStr">
        <is>
          <t>Client 013</t>
        </is>
      </c>
      <c r="B14" s="13" t="inlineStr">
        <is>
          <t>Email</t>
        </is>
      </c>
      <c r="C14" s="13" t="inlineStr">
        <is>
          <t>Replenishment</t>
        </is>
      </c>
      <c r="D14" s="17" t="n">
        <v>46296</v>
      </c>
      <c r="E14" s="17" t="n">
        <v>46302</v>
      </c>
      <c r="F14" s="13" t="inlineStr">
        <is>
          <t>Open</t>
        </is>
      </c>
      <c r="G14" s="13" t="inlineStr">
        <is>
          <t>High</t>
        </is>
      </c>
      <c r="H14" s="13" t="inlineStr">
        <is>
          <t>Send payment link</t>
        </is>
      </c>
    </row>
    <row r="15">
      <c r="A15" s="13" t="inlineStr">
        <is>
          <t>Client 014</t>
        </is>
      </c>
      <c r="B15" s="13" t="inlineStr">
        <is>
          <t>Phone</t>
        </is>
      </c>
      <c r="C15" s="13" t="inlineStr">
        <is>
          <t>Billing question</t>
        </is>
      </c>
      <c r="D15" s="17" t="n">
        <v>46297</v>
      </c>
      <c r="E15" s="17" t="n">
        <v>46303</v>
      </c>
      <c r="F15" s="13" t="inlineStr">
        <is>
          <t>Open</t>
        </is>
      </c>
      <c r="G15" s="13" t="inlineStr">
        <is>
          <t>Medium</t>
        </is>
      </c>
      <c r="H15" s="13" t="inlineStr">
        <is>
          <t>Confirm balance</t>
        </is>
      </c>
    </row>
    <row r="16">
      <c r="A16" s="13" t="inlineStr">
        <is>
          <t>Client 015</t>
        </is>
      </c>
      <c r="B16" s="13" t="inlineStr">
        <is>
          <t>SMS</t>
        </is>
      </c>
      <c r="C16" s="13" t="inlineStr">
        <is>
          <t>Upcoming event</t>
        </is>
      </c>
      <c r="D16" s="17" t="n">
        <v>46298</v>
      </c>
      <c r="E16" s="17" t="n">
        <v>46304</v>
      </c>
      <c r="F16" s="13" t="inlineStr">
        <is>
          <t>Waiting</t>
        </is>
      </c>
      <c r="G16" s="13" t="inlineStr">
        <is>
          <t>Low</t>
        </is>
      </c>
      <c r="H16" s="13" t="inlineStr">
        <is>
          <t>Awaiting client response</t>
        </is>
      </c>
    </row>
    <row r="17">
      <c r="A17" s="13" t="inlineStr">
        <is>
          <t>Client 016</t>
        </is>
      </c>
      <c r="B17" s="13" t="inlineStr">
        <is>
          <t>Internal</t>
        </is>
      </c>
      <c r="C17" s="13" t="inlineStr">
        <is>
          <t>Document follow-up</t>
        </is>
      </c>
      <c r="D17" s="17" t="n">
        <v>46299</v>
      </c>
      <c r="E17" s="17" t="n">
        <v>46305</v>
      </c>
      <c r="F17" s="13" t="inlineStr">
        <is>
          <t>Closed</t>
        </is>
      </c>
      <c r="G17" s="13" t="inlineStr">
        <is>
          <t>High</t>
        </is>
      </c>
      <c r="H17" s="13" t="inlineStr">
        <is>
          <t>No action</t>
        </is>
      </c>
    </row>
    <row r="18">
      <c r="A18" s="13" t="inlineStr">
        <is>
          <t>Client 017</t>
        </is>
      </c>
      <c r="B18" s="13" t="inlineStr">
        <is>
          <t>Email</t>
        </is>
      </c>
      <c r="C18" s="13" t="inlineStr">
        <is>
          <t>Replenishment</t>
        </is>
      </c>
      <c r="D18" s="17" t="n">
        <v>46300</v>
      </c>
      <c r="E18" s="17" t="n">
        <v>46306</v>
      </c>
      <c r="F18" s="13" t="inlineStr">
        <is>
          <t>Open</t>
        </is>
      </c>
      <c r="G18" s="13" t="inlineStr">
        <is>
          <t>Medium</t>
        </is>
      </c>
      <c r="H18" s="13" t="inlineStr">
        <is>
          <t>Send payment link</t>
        </is>
      </c>
    </row>
    <row r="19">
      <c r="A19" s="13" t="inlineStr">
        <is>
          <t>Client 018</t>
        </is>
      </c>
      <c r="B19" s="13" t="inlineStr">
        <is>
          <t>Phone</t>
        </is>
      </c>
      <c r="C19" s="13" t="inlineStr">
        <is>
          <t>Billing question</t>
        </is>
      </c>
      <c r="D19" s="17" t="n">
        <v>46301</v>
      </c>
      <c r="E19" s="17" t="n">
        <v>46307</v>
      </c>
      <c r="F19" s="13" t="inlineStr">
        <is>
          <t>Open</t>
        </is>
      </c>
      <c r="G19" s="13" t="inlineStr">
        <is>
          <t>Low</t>
        </is>
      </c>
      <c r="H19" s="13" t="inlineStr">
        <is>
          <t>Confirm balance</t>
        </is>
      </c>
    </row>
    <row r="20">
      <c r="A20" s="13" t="inlineStr">
        <is>
          <t>Client 019</t>
        </is>
      </c>
      <c r="B20" s="13" t="inlineStr">
        <is>
          <t>SMS</t>
        </is>
      </c>
      <c r="C20" s="13" t="inlineStr">
        <is>
          <t>Upcoming event</t>
        </is>
      </c>
      <c r="D20" s="17" t="n">
        <v>46296</v>
      </c>
      <c r="E20" s="17" t="n">
        <v>46308</v>
      </c>
      <c r="F20" s="13" t="inlineStr">
        <is>
          <t>Waiting</t>
        </is>
      </c>
      <c r="G20" s="13" t="inlineStr">
        <is>
          <t>High</t>
        </is>
      </c>
      <c r="H20" s="13" t="inlineStr">
        <is>
          <t>Awaiting client response</t>
        </is>
      </c>
    </row>
    <row r="21">
      <c r="A21" s="13" t="inlineStr">
        <is>
          <t>Client 020</t>
        </is>
      </c>
      <c r="B21" s="13" t="inlineStr">
        <is>
          <t>Internal</t>
        </is>
      </c>
      <c r="C21" s="13" t="inlineStr">
        <is>
          <t>Document follow-up</t>
        </is>
      </c>
      <c r="D21" s="17" t="n">
        <v>46297</v>
      </c>
      <c r="E21" s="17" t="n">
        <v>46309</v>
      </c>
      <c r="F21" s="13" t="inlineStr">
        <is>
          <t>Closed</t>
        </is>
      </c>
      <c r="G21" s="13" t="inlineStr">
        <is>
          <t>Medium</t>
        </is>
      </c>
      <c r="H21" s="13" t="inlineStr">
        <is>
          <t>No action</t>
        </is>
      </c>
    </row>
  </sheetData>
  <dataValidations count="2">
    <dataValidation sqref="F2:F500" showDropDown="0" showInputMessage="0" showErrorMessage="0" allowBlank="0" type="list">
      <formula1>"Open,Waiting,Closed"</formula1>
    </dataValidation>
    <dataValidation sqref="G2:G500" showDropDown="0" showInputMessage="0" showErrorMessage="0" allowBlank="0" type="list">
      <formula1>"High,Medium,Low"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4" customWidth="1" min="4" max="4"/>
    <col width="24" customWidth="1" min="5" max="5"/>
    <col width="16" customWidth="1" min="6" max="6"/>
    <col width="16" customWidth="1" min="7" max="7"/>
    <col width="28" customWidth="1" min="8" max="8"/>
  </cols>
  <sheetData>
    <row r="1">
      <c r="A1" s="12" t="inlineStr">
        <is>
          <t>Lead</t>
        </is>
      </c>
      <c r="B1" s="12" t="inlineStr">
        <is>
          <t>Source</t>
        </is>
      </c>
      <c r="C1" s="12" t="inlineStr">
        <is>
          <t>Contacted</t>
        </is>
      </c>
      <c r="D1" s="12" t="inlineStr">
        <is>
          <t>Last Touch</t>
        </is>
      </c>
      <c r="E1" s="12" t="inlineStr">
        <is>
          <t>Next Step</t>
        </is>
      </c>
      <c r="F1" s="12" t="inlineStr">
        <is>
          <t>Pipeline Status</t>
        </is>
      </c>
      <c r="G1" s="12" t="inlineStr">
        <is>
          <t>Outcome</t>
        </is>
      </c>
      <c r="H1" s="12" t="inlineStr">
        <is>
          <t>Notes</t>
        </is>
      </c>
    </row>
    <row r="2">
      <c r="A2" s="13" t="inlineStr">
        <is>
          <t>Prospect 001</t>
        </is>
      </c>
      <c r="B2" s="13" t="inlineStr">
        <is>
          <t>LinkedIn</t>
        </is>
      </c>
      <c r="C2" s="13" t="inlineStr">
        <is>
          <t>No</t>
        </is>
      </c>
      <c r="D2" s="17" t="n">
        <v>46287</v>
      </c>
      <c r="E2" s="13" t="inlineStr">
        <is>
          <t>Follow up</t>
        </is>
      </c>
      <c r="F2" s="13" t="inlineStr">
        <is>
          <t>New</t>
        </is>
      </c>
      <c r="G2" s="13" t="inlineStr">
        <is>
          <t>No response</t>
        </is>
      </c>
      <c r="H2" s="13" t="inlineStr">
        <is>
          <t>Fictional sample data</t>
        </is>
      </c>
    </row>
    <row r="3">
      <c r="A3" s="13" t="inlineStr">
        <is>
          <t>Prospect 002</t>
        </is>
      </c>
      <c r="B3" s="13" t="inlineStr">
        <is>
          <t>Referral</t>
        </is>
      </c>
      <c r="C3" s="13" t="inlineStr">
        <is>
          <t>Yes</t>
        </is>
      </c>
      <c r="D3" s="17" t="n">
        <v>46288</v>
      </c>
      <c r="E3" s="13" t="inlineStr">
        <is>
          <t>Book discovery</t>
        </is>
      </c>
      <c r="F3" s="13" t="inlineStr">
        <is>
          <t>Contacted</t>
        </is>
      </c>
      <c r="G3" s="13" t="inlineStr">
        <is>
          <t>Booked</t>
        </is>
      </c>
      <c r="H3" s="13" t="inlineStr">
        <is>
          <t>Fictional sample data</t>
        </is>
      </c>
    </row>
    <row r="4">
      <c r="A4" s="13" t="inlineStr">
        <is>
          <t>Prospect 003</t>
        </is>
      </c>
      <c r="B4" s="13" t="inlineStr">
        <is>
          <t>Website</t>
        </is>
      </c>
      <c r="C4" s="13" t="inlineStr">
        <is>
          <t>Yes</t>
        </is>
      </c>
      <c r="D4" s="17" t="n">
        <v>46289</v>
      </c>
      <c r="E4" s="13" t="inlineStr">
        <is>
          <t>Send intro</t>
        </is>
      </c>
      <c r="F4" s="13" t="inlineStr">
        <is>
          <t>Follow-Up</t>
        </is>
      </c>
      <c r="G4" s="13" t="inlineStr"/>
      <c r="H4" s="13" t="inlineStr">
        <is>
          <t>Fictional sample data</t>
        </is>
      </c>
    </row>
    <row r="5">
      <c r="A5" s="13" t="inlineStr">
        <is>
          <t>Prospect 004</t>
        </is>
      </c>
      <c r="B5" s="13" t="inlineStr">
        <is>
          <t>Email</t>
        </is>
      </c>
      <c r="C5" s="13" t="inlineStr">
        <is>
          <t>No</t>
        </is>
      </c>
      <c r="D5" s="17" t="n">
        <v>46290</v>
      </c>
      <c r="E5" s="13" t="inlineStr">
        <is>
          <t>Call</t>
        </is>
      </c>
      <c r="F5" s="13" t="inlineStr">
        <is>
          <t>Qualified</t>
        </is>
      </c>
      <c r="G5" s="13" t="inlineStr">
        <is>
          <t>Interested</t>
        </is>
      </c>
      <c r="H5" s="13" t="inlineStr">
        <is>
          <t>Fictional sample data</t>
        </is>
      </c>
    </row>
    <row r="6">
      <c r="A6" s="13" t="inlineStr">
        <is>
          <t>Prospect 005</t>
        </is>
      </c>
      <c r="B6" s="13" t="inlineStr">
        <is>
          <t>LinkedIn</t>
        </is>
      </c>
      <c r="C6" s="13" t="inlineStr">
        <is>
          <t>Yes</t>
        </is>
      </c>
      <c r="D6" s="17" t="n">
        <v>46291</v>
      </c>
      <c r="E6" s="13" t="inlineStr">
        <is>
          <t>Follow up</t>
        </is>
      </c>
      <c r="F6" s="13" t="inlineStr">
        <is>
          <t>Closed</t>
        </is>
      </c>
      <c r="G6" s="13" t="inlineStr">
        <is>
          <t>No response</t>
        </is>
      </c>
      <c r="H6" s="13" t="inlineStr">
        <is>
          <t>Fictional sample data</t>
        </is>
      </c>
    </row>
    <row r="7">
      <c r="A7" s="13" t="inlineStr">
        <is>
          <t>Prospect 006</t>
        </is>
      </c>
      <c r="B7" s="13" t="inlineStr">
        <is>
          <t>Referral</t>
        </is>
      </c>
      <c r="C7" s="13" t="inlineStr">
        <is>
          <t>Yes</t>
        </is>
      </c>
      <c r="D7" s="17" t="n">
        <v>46292</v>
      </c>
      <c r="E7" s="13" t="inlineStr">
        <is>
          <t>Book discovery</t>
        </is>
      </c>
      <c r="F7" s="13" t="inlineStr">
        <is>
          <t>New</t>
        </is>
      </c>
      <c r="G7" s="13" t="inlineStr">
        <is>
          <t>Booked</t>
        </is>
      </c>
      <c r="H7" s="13" t="inlineStr">
        <is>
          <t>Fictional sample data</t>
        </is>
      </c>
    </row>
    <row r="8">
      <c r="A8" s="13" t="inlineStr">
        <is>
          <t>Prospect 007</t>
        </is>
      </c>
      <c r="B8" s="13" t="inlineStr">
        <is>
          <t>Website</t>
        </is>
      </c>
      <c r="C8" s="13" t="inlineStr">
        <is>
          <t>No</t>
        </is>
      </c>
      <c r="D8" s="17" t="n">
        <v>46293</v>
      </c>
      <c r="E8" s="13" t="inlineStr">
        <is>
          <t>Send intro</t>
        </is>
      </c>
      <c r="F8" s="13" t="inlineStr">
        <is>
          <t>Contacted</t>
        </is>
      </c>
      <c r="G8" s="13" t="inlineStr"/>
      <c r="H8" s="13" t="inlineStr">
        <is>
          <t>Fictional sample data</t>
        </is>
      </c>
    </row>
    <row r="9">
      <c r="A9" s="13" t="inlineStr">
        <is>
          <t>Prospect 008</t>
        </is>
      </c>
      <c r="B9" s="13" t="inlineStr">
        <is>
          <t>Email</t>
        </is>
      </c>
      <c r="C9" s="13" t="inlineStr">
        <is>
          <t>Yes</t>
        </is>
      </c>
      <c r="D9" s="17" t="n">
        <v>46294</v>
      </c>
      <c r="E9" s="13" t="inlineStr">
        <is>
          <t>Call</t>
        </is>
      </c>
      <c r="F9" s="13" t="inlineStr">
        <is>
          <t>Follow-Up</t>
        </is>
      </c>
      <c r="G9" s="13" t="inlineStr">
        <is>
          <t>Interested</t>
        </is>
      </c>
      <c r="H9" s="13" t="inlineStr">
        <is>
          <t>Fictional sample data</t>
        </is>
      </c>
    </row>
    <row r="10">
      <c r="A10" s="13" t="inlineStr">
        <is>
          <t>Prospect 009</t>
        </is>
      </c>
      <c r="B10" s="13" t="inlineStr">
        <is>
          <t>LinkedIn</t>
        </is>
      </c>
      <c r="C10" s="13" t="inlineStr">
        <is>
          <t>Yes</t>
        </is>
      </c>
      <c r="D10" s="17" t="n">
        <v>46295</v>
      </c>
      <c r="E10" s="13" t="inlineStr">
        <is>
          <t>Follow up</t>
        </is>
      </c>
      <c r="F10" s="13" t="inlineStr">
        <is>
          <t>Qualified</t>
        </is>
      </c>
      <c r="G10" s="13" t="inlineStr">
        <is>
          <t>No response</t>
        </is>
      </c>
      <c r="H10" s="13" t="inlineStr">
        <is>
          <t>Fictional sample data</t>
        </is>
      </c>
    </row>
    <row r="11">
      <c r="A11" s="13" t="inlineStr">
        <is>
          <t>Prospect 010</t>
        </is>
      </c>
      <c r="B11" s="13" t="inlineStr">
        <is>
          <t>Referral</t>
        </is>
      </c>
      <c r="C11" s="13" t="inlineStr">
        <is>
          <t>No</t>
        </is>
      </c>
      <c r="D11" s="17" t="n">
        <v>46296</v>
      </c>
      <c r="E11" s="13" t="inlineStr">
        <is>
          <t>Book discovery</t>
        </is>
      </c>
      <c r="F11" s="13" t="inlineStr">
        <is>
          <t>Closed</t>
        </is>
      </c>
      <c r="G11" s="13" t="inlineStr">
        <is>
          <t>Booked</t>
        </is>
      </c>
      <c r="H11" s="13" t="inlineStr">
        <is>
          <t>Fictional sample data</t>
        </is>
      </c>
    </row>
    <row r="12">
      <c r="A12" s="13" t="inlineStr">
        <is>
          <t>Prospect 011</t>
        </is>
      </c>
      <c r="B12" s="13" t="inlineStr">
        <is>
          <t>Website</t>
        </is>
      </c>
      <c r="C12" s="13" t="inlineStr">
        <is>
          <t>Yes</t>
        </is>
      </c>
      <c r="D12" s="17" t="n">
        <v>46297</v>
      </c>
      <c r="E12" s="13" t="inlineStr">
        <is>
          <t>Send intro</t>
        </is>
      </c>
      <c r="F12" s="13" t="inlineStr">
        <is>
          <t>New</t>
        </is>
      </c>
      <c r="G12" s="13" t="inlineStr"/>
      <c r="H12" s="13" t="inlineStr">
        <is>
          <t>Fictional sample data</t>
        </is>
      </c>
    </row>
    <row r="13">
      <c r="A13" s="13" t="inlineStr">
        <is>
          <t>Prospect 012</t>
        </is>
      </c>
      <c r="B13" s="13" t="inlineStr">
        <is>
          <t>Email</t>
        </is>
      </c>
      <c r="C13" s="13" t="inlineStr">
        <is>
          <t>Yes</t>
        </is>
      </c>
      <c r="D13" s="17" t="n">
        <v>46298</v>
      </c>
      <c r="E13" s="13" t="inlineStr">
        <is>
          <t>Call</t>
        </is>
      </c>
      <c r="F13" s="13" t="inlineStr">
        <is>
          <t>Contacted</t>
        </is>
      </c>
      <c r="G13" s="13" t="inlineStr">
        <is>
          <t>Interested</t>
        </is>
      </c>
      <c r="H13" s="13" t="inlineStr">
        <is>
          <t>Fictional sample data</t>
        </is>
      </c>
    </row>
    <row r="14">
      <c r="A14" s="13" t="inlineStr">
        <is>
          <t>Prospect 013</t>
        </is>
      </c>
      <c r="B14" s="13" t="inlineStr">
        <is>
          <t>LinkedIn</t>
        </is>
      </c>
      <c r="C14" s="13" t="inlineStr">
        <is>
          <t>No</t>
        </is>
      </c>
      <c r="D14" s="17" t="n">
        <v>46299</v>
      </c>
      <c r="E14" s="13" t="inlineStr">
        <is>
          <t>Follow up</t>
        </is>
      </c>
      <c r="F14" s="13" t="inlineStr">
        <is>
          <t>Follow-Up</t>
        </is>
      </c>
      <c r="G14" s="13" t="inlineStr">
        <is>
          <t>No response</t>
        </is>
      </c>
      <c r="H14" s="13" t="inlineStr">
        <is>
          <t>Fictional sample data</t>
        </is>
      </c>
    </row>
    <row r="15">
      <c r="A15" s="13" t="inlineStr">
        <is>
          <t>Prospect 014</t>
        </is>
      </c>
      <c r="B15" s="13" t="inlineStr">
        <is>
          <t>Referral</t>
        </is>
      </c>
      <c r="C15" s="13" t="inlineStr">
        <is>
          <t>Yes</t>
        </is>
      </c>
      <c r="D15" s="17" t="n">
        <v>46300</v>
      </c>
      <c r="E15" s="13" t="inlineStr">
        <is>
          <t>Book discovery</t>
        </is>
      </c>
      <c r="F15" s="13" t="inlineStr">
        <is>
          <t>Qualified</t>
        </is>
      </c>
      <c r="G15" s="13" t="inlineStr">
        <is>
          <t>Booked</t>
        </is>
      </c>
      <c r="H15" s="13" t="inlineStr">
        <is>
          <t>Fictional sample data</t>
        </is>
      </c>
    </row>
    <row r="16">
      <c r="A16" s="13" t="inlineStr">
        <is>
          <t>Prospect 015</t>
        </is>
      </c>
      <c r="B16" s="13" t="inlineStr">
        <is>
          <t>Website</t>
        </is>
      </c>
      <c r="C16" s="13" t="inlineStr">
        <is>
          <t>Yes</t>
        </is>
      </c>
      <c r="D16" s="17" t="n">
        <v>46301</v>
      </c>
      <c r="E16" s="13" t="inlineStr">
        <is>
          <t>Send intro</t>
        </is>
      </c>
      <c r="F16" s="13" t="inlineStr">
        <is>
          <t>Closed</t>
        </is>
      </c>
      <c r="G16" s="13" t="inlineStr"/>
      <c r="H16" s="13" t="inlineStr">
        <is>
          <t>Fictional sample data</t>
        </is>
      </c>
    </row>
    <row r="17">
      <c r="A17" s="13" t="inlineStr">
        <is>
          <t>Prospect 016</t>
        </is>
      </c>
      <c r="B17" s="13" t="inlineStr">
        <is>
          <t>Email</t>
        </is>
      </c>
      <c r="C17" s="13" t="inlineStr">
        <is>
          <t>No</t>
        </is>
      </c>
      <c r="D17" s="17" t="n">
        <v>46302</v>
      </c>
      <c r="E17" s="13" t="inlineStr">
        <is>
          <t>Call</t>
        </is>
      </c>
      <c r="F17" s="13" t="inlineStr">
        <is>
          <t>New</t>
        </is>
      </c>
      <c r="G17" s="13" t="inlineStr">
        <is>
          <t>Interested</t>
        </is>
      </c>
      <c r="H17" s="13" t="inlineStr">
        <is>
          <t>Fictional sample data</t>
        </is>
      </c>
    </row>
    <row r="18">
      <c r="A18" s="13" t="inlineStr">
        <is>
          <t>Prospect 017</t>
        </is>
      </c>
      <c r="B18" s="13" t="inlineStr">
        <is>
          <t>LinkedIn</t>
        </is>
      </c>
      <c r="C18" s="13" t="inlineStr">
        <is>
          <t>Yes</t>
        </is>
      </c>
      <c r="D18" s="17" t="n">
        <v>46303</v>
      </c>
      <c r="E18" s="13" t="inlineStr">
        <is>
          <t>Follow up</t>
        </is>
      </c>
      <c r="F18" s="13" t="inlineStr">
        <is>
          <t>Contacted</t>
        </is>
      </c>
      <c r="G18" s="13" t="inlineStr">
        <is>
          <t>No response</t>
        </is>
      </c>
      <c r="H18" s="13" t="inlineStr">
        <is>
          <t>Fictional sample data</t>
        </is>
      </c>
    </row>
    <row r="19">
      <c r="A19" s="13" t="inlineStr">
        <is>
          <t>Prospect 018</t>
        </is>
      </c>
      <c r="B19" s="13" t="inlineStr">
        <is>
          <t>Referral</t>
        </is>
      </c>
      <c r="C19" s="13" t="inlineStr">
        <is>
          <t>Yes</t>
        </is>
      </c>
      <c r="D19" s="17" t="n">
        <v>46304</v>
      </c>
      <c r="E19" s="13" t="inlineStr">
        <is>
          <t>Book discovery</t>
        </is>
      </c>
      <c r="F19" s="13" t="inlineStr">
        <is>
          <t>Follow-Up</t>
        </is>
      </c>
      <c r="G19" s="13" t="inlineStr">
        <is>
          <t>Booked</t>
        </is>
      </c>
      <c r="H19" s="13" t="inlineStr">
        <is>
          <t>Fictional sample data</t>
        </is>
      </c>
    </row>
    <row r="20">
      <c r="A20" s="13" t="inlineStr">
        <is>
          <t>Prospect 019</t>
        </is>
      </c>
      <c r="B20" s="13" t="inlineStr">
        <is>
          <t>Website</t>
        </is>
      </c>
      <c r="C20" s="13" t="inlineStr">
        <is>
          <t>No</t>
        </is>
      </c>
      <c r="D20" s="17" t="n">
        <v>46305</v>
      </c>
      <c r="E20" s="13" t="inlineStr">
        <is>
          <t>Send intro</t>
        </is>
      </c>
      <c r="F20" s="13" t="inlineStr">
        <is>
          <t>Qualified</t>
        </is>
      </c>
      <c r="G20" s="13" t="inlineStr"/>
      <c r="H20" s="13" t="inlineStr">
        <is>
          <t>Fictional sample data</t>
        </is>
      </c>
    </row>
    <row r="21">
      <c r="A21" s="13" t="inlineStr">
        <is>
          <t>Prospect 020</t>
        </is>
      </c>
      <c r="B21" s="13" t="inlineStr">
        <is>
          <t>Email</t>
        </is>
      </c>
      <c r="C21" s="13" t="inlineStr">
        <is>
          <t>Yes</t>
        </is>
      </c>
      <c r="D21" s="17" t="n">
        <v>46306</v>
      </c>
      <c r="E21" s="13" t="inlineStr">
        <is>
          <t>Call</t>
        </is>
      </c>
      <c r="F21" s="13" t="inlineStr">
        <is>
          <t>Closed</t>
        </is>
      </c>
      <c r="G21" s="13" t="inlineStr">
        <is>
          <t>Interested</t>
        </is>
      </c>
      <c r="H21" s="13" t="inlineStr">
        <is>
          <t>Fictional sample data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8" t="inlineStr">
        <is>
          <t>PORTFOLIO SAMPLE — READ ME</t>
        </is>
      </c>
    </row>
    <row r="2"/>
    <row r="4">
      <c r="A4" s="19" t="inlineStr">
        <is>
          <t>Purpose</t>
        </is>
      </c>
      <c r="B4" s="20" t="inlineStr">
        <is>
          <t>Demonstrates how Jay can structure client, billing, trust, and follow-up information into an action-oriented operations tracker.</t>
        </is>
      </c>
    </row>
    <row r="5">
      <c r="A5" s="19" t="inlineStr">
        <is>
          <t>Data</t>
        </is>
      </c>
      <c r="B5" s="20" t="inlineStr">
        <is>
          <t>All client names, matters, balances, and activities are fictional/anonymized portfolio data.</t>
        </is>
      </c>
    </row>
    <row r="6">
      <c r="A6" s="19" t="inlineStr">
        <is>
          <t>Main workflow</t>
        </is>
      </c>
      <c r="B6" s="20" t="inlineStr">
        <is>
          <t>Client Tracker → identify account health → calculate amount needed → prioritize → record next action → follow up.</t>
        </is>
      </c>
    </row>
    <row r="7">
      <c r="A7" s="19" t="inlineStr">
        <is>
          <t>Formula</t>
        </is>
      </c>
      <c r="B7" s="20" t="inlineStr">
        <is>
          <t>Amount Needed = MAX(Required Trust − Trust Balance + Outstanding + WIP, 0).</t>
        </is>
      </c>
    </row>
    <row r="8">
      <c r="A8" s="19" t="inlineStr">
        <is>
          <t>Status</t>
        </is>
      </c>
      <c r="B8" s="20" t="inlineStr">
        <is>
          <t>Good = routine monitoring; Attention = review needed; Action Needed = follow-up/replenishment required; On Hold = paused.</t>
        </is>
      </c>
    </row>
    <row r="9">
      <c r="A9" s="19" t="inlineStr">
        <is>
          <t>Portfolio note</t>
        </is>
      </c>
      <c r="B9" s="20" t="inlineStr">
        <is>
          <t>This sample is designed to show organization and workflow thinking, not to reproduce a live client system or expose confidential information.</t>
        </is>
      </c>
    </row>
  </sheetData>
  <mergeCells count="7">
    <mergeCell ref="B4:F4"/>
    <mergeCell ref="B7:F7"/>
    <mergeCell ref="B6:F6"/>
    <mergeCell ref="A1:F2"/>
    <mergeCell ref="B5:F5"/>
    <mergeCell ref="B8:F8"/>
    <mergeCell ref="B9:F9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2026-10-06T20:46:36Z</dcterms:created>
  <dcterms:modified xmlns:dcterms="http://purl.org/dc/terms/" xmlns:xsi="http://www.w3.org/2001/XMLSchema-instance" xsi:type="dcterms:W3CDTF">2026-10-06T20:46:36Z</dcterms:modified>
</cp:coreProperties>
</file>